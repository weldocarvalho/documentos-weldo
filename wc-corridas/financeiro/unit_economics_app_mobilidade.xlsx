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Por corrida" sheetId="3" state="visible" r:id="rId5"/>
    <sheet name="Simulaçã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<sst xmlns="http://schemas.openxmlformats.org/spreadsheetml/2006/main" count="104" uniqueCount="91">
  <si>
    <t xml:space="preserve">Unit economics: app de mobilidade (modelo de simulação de take rate)</t>
  </si>
  <si>
    <t xml:space="preserve">Objetivo</t>
  </si>
  <si>
    <t xml:space="preserve">Testar quanto uma plataforma ganha por corrida e quanto sobra ao motorista em diferentes comissões (take rate), e quantas corridas por mês cobrem o custo fixo de uma cidade.</t>
  </si>
  <si>
    <t xml:space="preserve">Como usar</t>
  </si>
  <si>
    <t xml:space="preserve">Edite só as células com texto azul na aba Premissas (e os cabeçalhos azuis da aba Simulação). Todo o resto é fórmula e recalcula.</t>
  </si>
  <si>
    <t xml:space="preserve">Legenda</t>
  </si>
  <si>
    <t xml:space="preserve">Azul = dado que você edita. Preto = fórmula. Verde = link para outra aba. Fundo amarelo = premissa-chave.</t>
  </si>
  <si>
    <t xml:space="preserve">Abas</t>
  </si>
  <si>
    <t xml:space="preserve">Premissas: entradas. Por corrida: comparação de 5 cenários de take rate. Simulação: varredura de 0% a 40% com gráficos e grade take rate x ticket.</t>
  </si>
  <si>
    <t xml:space="preserve">Aviso importante</t>
  </si>
  <si>
    <t xml:space="preserve">Ticket, km, tempo por corrida e todos os custos da plataforma são PREMISSAS ILUSTRATIVAS minhas, não dados medidos. Substitua por números reais da sua cidade-piloto antes de usar o resultado em qualquer decisão.</t>
  </si>
  <si>
    <t xml:space="preserve">Fontes</t>
  </si>
  <si>
    <t xml:space="preserve">Custo por km do motorista: Rota do Motorista (SP, 3.200 km/mês). Take rate 40%: Garagem360, nov/2025 (relatos de 40–50%, picos acima de 60%). Take rate 25%: Vida de Motorista (meta da Uber, fonte secundária). Teto de 30%: debate do PLP 152/2025 (Estado de Minas, abr/2026). Take rate de apps alternativos: MobizapSP 10,95% (Tecnoblog), Bibi Mob 5% (Tecnoblog).</t>
  </si>
  <si>
    <t xml:space="preserve">Limitações</t>
  </si>
  <si>
    <t xml:space="preserve">O modelo é por corrida e mensal simples. Não inclui CAC, churn, curva de adoção, impostos sobre a receita nem custos de tecnologia além do custo fixo mensal informado.</t>
  </si>
  <si>
    <t xml:space="preserve">Premissas (edite as células azuis)</t>
  </si>
  <si>
    <t xml:space="preserve">Premissa</t>
  </si>
  <si>
    <t xml:space="preserve">Valor</t>
  </si>
  <si>
    <t xml:space="preserve">Unidade</t>
  </si>
  <si>
    <t xml:space="preserve">Fonte / nota</t>
  </si>
  <si>
    <t xml:space="preserve">Tarifa média paga pelo passageiro</t>
  </si>
  <si>
    <t xml:space="preserve">R$/corrida</t>
  </si>
  <si>
    <t xml:space="preserve">Premissa ilustrativa. Substituir pelo ticket real da cidade-piloto.</t>
  </si>
  <si>
    <t xml:space="preserve">Distância paga por corrida</t>
  </si>
  <si>
    <t xml:space="preserve">km</t>
  </si>
  <si>
    <t xml:space="preserve">Premissa ilustrativa.</t>
  </si>
  <si>
    <t xml:space="preserve">Km ocioso (deslocamento até o passageiro e espera)</t>
  </si>
  <si>
    <t xml:space="preserve">% sobre km pagos</t>
  </si>
  <si>
    <t xml:space="preserve">Custo operacional do motorista</t>
  </si>
  <si>
    <t xml:space="preserve">R$/km</t>
  </si>
  <si>
    <t xml:space="preserve">Rota do Motorista: R$ 1,71/km em SP (R$ 5.460/mês, 3.200 km). Inclui combustível, depreciação, seguro, limpeza. Cidades menores: R$ 0,90–1,10.</t>
  </si>
  <si>
    <t xml:space="preserve">Tempo por corrida, incluindo espera</t>
  </si>
  <si>
    <t xml:space="preserve">minutos</t>
  </si>
  <si>
    <t xml:space="preserve">Horas trabalhadas por mês</t>
  </si>
  <si>
    <t xml:space="preserve">horas</t>
  </si>
  <si>
    <t xml:space="preserve">Premissa ilustrativa (8 h x 20 dias).</t>
  </si>
  <si>
    <t xml:space="preserve">Processamento de pagamento</t>
  </si>
  <si>
    <t xml:space="preserve">% do ticket</t>
  </si>
  <si>
    <t xml:space="preserve">Suporte, seguro e segurança</t>
  </si>
  <si>
    <t xml:space="preserve">Incentivo ao motorista</t>
  </si>
  <si>
    <t xml:space="preserve">Premissa ilustrativa (bônus de retenção). Somado ao ganho do motorista.</t>
  </si>
  <si>
    <t xml:space="preserve">Custo fixo mensal por cidade</t>
  </si>
  <si>
    <t xml:space="preserve">R$/mês</t>
  </si>
  <si>
    <t xml:space="preserve">Premissa ilustrativa: equipe local, marketing, infraestrutura.</t>
  </si>
  <si>
    <t xml:space="preserve">Take rate: incumbente, relatos altos</t>
  </si>
  <si>
    <t xml:space="preserve">Garagem360, nov/2025: retenção média de 40–50%.</t>
  </si>
  <si>
    <t xml:space="preserve">Take rate: incumbente, meta declarada</t>
  </si>
  <si>
    <t xml:space="preserve">Vida de Motorista: Uber mira cerca de 25% (fonte secundária).</t>
  </si>
  <si>
    <t xml:space="preserve">Take rate: teto discutido na regulação</t>
  </si>
  <si>
    <t xml:space="preserve">PLP 152/2025, em discussão; projeto retirado da pauta em 14/04/2026.</t>
  </si>
  <si>
    <t xml:space="preserve">Take rate: nosso cenário base</t>
  </si>
  <si>
    <t xml:space="preserve">Hipótese. Referências: MobizapSP 10,95%, inDrive cerca de 10%.</t>
  </si>
  <si>
    <t xml:space="preserve">Take rate: nosso cenário agressivo</t>
  </si>
  <si>
    <t xml:space="preserve">Hipótese. Referência: Bibi Mob 5%.</t>
  </si>
  <si>
    <t xml:space="preserve">Economia por corrida: cinco cenários de take rate</t>
  </si>
  <si>
    <t xml:space="preserve">Linha</t>
  </si>
  <si>
    <t xml:space="preserve">Incumbente (relatos altos)</t>
  </si>
  <si>
    <t xml:space="preserve">Incumbente (meta)</t>
  </si>
  <si>
    <t xml:space="preserve">Teto do PLP</t>
  </si>
  <si>
    <t xml:space="preserve">Nosso: base</t>
  </si>
  <si>
    <t xml:space="preserve">Nosso: agressivo</t>
  </si>
  <si>
    <t xml:space="preserve">Take rate</t>
  </si>
  <si>
    <t xml:space="preserve">Tarifa do passageiro (R$)</t>
  </si>
  <si>
    <t xml:space="preserve">Plataforma: receita por corrida (R$)</t>
  </si>
  <si>
    <t xml:space="preserve">Plataforma: processamento de pagamento (R$)</t>
  </si>
  <si>
    <t xml:space="preserve">Plataforma: suporte, seguro e segurança (R$)</t>
  </si>
  <si>
    <t xml:space="preserve">Plataforma: incentivo ao motorista (R$)</t>
  </si>
  <si>
    <t xml:space="preserve">Plataforma: margem de contribuição (R$/corrida)</t>
  </si>
  <si>
    <t xml:space="preserve">Plataforma: margem sobre o ticket</t>
  </si>
  <si>
    <t xml:space="preserve">Motorista</t>
  </si>
  <si>
    <t xml:space="preserve">Motorista: ganho bruto da corrida (R$)</t>
  </si>
  <si>
    <t xml:space="preserve">Motorista: km totais rodados</t>
  </si>
  <si>
    <t xml:space="preserve">Motorista: custo operacional (R$)</t>
  </si>
  <si>
    <t xml:space="preserve">Motorista: ganho líquido por corrida, com incentivo (R$)</t>
  </si>
  <si>
    <t xml:space="preserve">Motorista: corridas por hora</t>
  </si>
  <si>
    <t xml:space="preserve">Motorista: ganho líquido por hora (R$/h)</t>
  </si>
  <si>
    <t xml:space="preserve">Motorista: ganho líquido por mês (R$)</t>
  </si>
  <si>
    <t xml:space="preserve">Motorista: diferença por hora vs incumbente (meta)</t>
  </si>
  <si>
    <t xml:space="preserve">Escala para empatar (custo fixo de uma cidade)</t>
  </si>
  <si>
    <t xml:space="preserve">Corridas por mês para cobrir o custo fixo</t>
  </si>
  <si>
    <t xml:space="preserve">Corridas por dia (mês de 30 dias)</t>
  </si>
  <si>
    <t xml:space="preserve">Motoristas ativos necessários</t>
  </si>
  <si>
    <t xml:space="preserve">Linha 20 compara o ganho por hora de cada cenário com a coluna 'Incumbente (meta)'. Valores baseados nas premissas ilustrativas da aba Premissas.</t>
  </si>
  <si>
    <t xml:space="preserve">Varredura de take rate de 0% a 40%</t>
  </si>
  <si>
    <t xml:space="preserve">Receita da plataforma (R$/corrida)</t>
  </si>
  <si>
    <t xml:space="preserve">Margem de contribuição (R$/corrida)</t>
  </si>
  <si>
    <t xml:space="preserve">Ganho líquido do motorista (R$/h)</t>
  </si>
  <si>
    <t xml:space="preserve">Corridas/mês para empatar</t>
  </si>
  <si>
    <t xml:space="preserve">Margem de contribuição (R$/corrida): take rate x ticket</t>
  </si>
  <si>
    <t xml:space="preserve">Take rate \ Ticket (R$)</t>
  </si>
  <si>
    <t xml:space="preserve">Valores negativos aparecem entre parênteses: a corrida perde dinheiro na margem de contribuição.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</si>
</sst>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;&quot;(R$ &quot;#,##0.00\);\-"/>
    <numFmt numFmtId="166" formatCode="#,##0.0;\(#,##0.0\);\-"/>
    <numFmt numFmtId="167" formatCode="0.0%;\(0.0%\);\-"/>
    <numFmt numFmtId="168" formatCode="#,##0;\(#,##0\);\-"/>
    <numFmt numFmtId="169" formatCode="&quot;R$ &quot;#,##0;&quot;(R$ &quot;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Margem da plataforma por corrida (R$) x take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Simulação!C3</c:f>
              <c:strCache>
                <c:ptCount val="1"/>
                <c:pt idx="0">
                  <c:v>Margem de contribuição (R$/corrida)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Simulação!$A$4:$A$20</c:f>
              <c:strCache>
                <c:ptCount val="17"/>
                <c:pt idx="0">
                  <c:v>-</c:v>
                </c:pt>
                <c:pt idx="1">
                  <c:v>2.5%</c:v>
                </c:pt>
                <c:pt idx="2">
                  <c:v>5.0%</c:v>
                </c:pt>
                <c:pt idx="3">
                  <c:v>7.5%</c:v>
                </c:pt>
                <c:pt idx="4">
                  <c:v>10.0%</c:v>
                </c:pt>
                <c:pt idx="5">
                  <c:v>12.5%</c:v>
                </c:pt>
                <c:pt idx="6">
                  <c:v>15.0%</c:v>
                </c:pt>
                <c:pt idx="7">
                  <c:v>17.5%</c:v>
                </c:pt>
                <c:pt idx="8">
                  <c:v>20.0%</c:v>
                </c:pt>
                <c:pt idx="9">
                  <c:v>22.5%</c:v>
                </c:pt>
                <c:pt idx="10">
                  <c:v>25.0%</c:v>
                </c:pt>
                <c:pt idx="11">
                  <c:v>27.5%</c:v>
                </c:pt>
                <c:pt idx="12">
                  <c:v>30.0%</c:v>
                </c:pt>
                <c:pt idx="13">
                  <c:v>32.5%</c:v>
                </c:pt>
                <c:pt idx="14">
                  <c:v>35.0%</c:v>
                </c:pt>
                <c:pt idx="15">
                  <c:v>37.5%</c:v>
                </c:pt>
                <c:pt idx="16">
                  <c:v>40.0%</c:v>
                </c:pt>
              </c:strCache>
            </c:strRef>
          </c:cat>
          <c:val>
            <c:numRef>
              <c:f>Simulação!$C$4:$C$20</c:f>
              <c:numCache>
                <c:formatCode>"R$ "#,##0.00;"(R$ "#,##0.00\);\-</c:formatCode>
                <c:ptCount val="17"/>
                <c:pt idx="0">
                  <c:v>-2.35</c:v>
                </c:pt>
                <c:pt idx="1">
                  <c:v>-1.475</c:v>
                </c:pt>
                <c:pt idx="2">
                  <c:v>-0.6</c:v>
                </c:pt>
                <c:pt idx="3">
                  <c:v>0.275</c:v>
                </c:pt>
                <c:pt idx="4">
                  <c:v>1.15</c:v>
                </c:pt>
                <c:pt idx="5">
                  <c:v>2.025</c:v>
                </c:pt>
                <c:pt idx="6">
                  <c:v>2.9</c:v>
                </c:pt>
                <c:pt idx="7">
                  <c:v>3.775</c:v>
                </c:pt>
                <c:pt idx="8">
                  <c:v>4.65</c:v>
                </c:pt>
                <c:pt idx="9">
                  <c:v>5.525</c:v>
                </c:pt>
                <c:pt idx="10">
                  <c:v>6.4</c:v>
                </c:pt>
                <c:pt idx="11">
                  <c:v>7.275</c:v>
                </c:pt>
                <c:pt idx="12">
                  <c:v>8.15</c:v>
                </c:pt>
                <c:pt idx="13">
                  <c:v>9.025</c:v>
                </c:pt>
                <c:pt idx="14">
                  <c:v>9.9</c:v>
                </c:pt>
                <c:pt idx="15">
                  <c:v>10.775</c:v>
                </c:pt>
                <c:pt idx="16">
                  <c:v>11.65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275117"/>
        <c:axId val="93341395"/>
      </c:lineChart>
      <c:catAx>
        <c:axId val="752751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Take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41395"/>
        <c:crosses val="autoZero"/>
        <c:auto val="1"/>
        <c:lblAlgn val="ctr"/>
        <c:lblOffset val="100"/>
        <c:noMultiLvlLbl val="0"/>
      </c:catAx>
      <c:valAx>
        <c:axId val="93341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R$/corrida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751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Ganho líquido do motorista (R$/h) x take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Simulação!D3</c:f>
              <c:strCache>
                <c:ptCount val="1"/>
                <c:pt idx="0">
                  <c:v>Ganho líquido do motorista (R$/h)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Simulação!$A$4:$A$20</c:f>
              <c:strCache>
                <c:ptCount val="17"/>
                <c:pt idx="0">
                  <c:v>-</c:v>
                </c:pt>
                <c:pt idx="1">
                  <c:v>2.5%</c:v>
                </c:pt>
                <c:pt idx="2">
                  <c:v>5.0%</c:v>
                </c:pt>
                <c:pt idx="3">
                  <c:v>7.5%</c:v>
                </c:pt>
                <c:pt idx="4">
                  <c:v>10.0%</c:v>
                </c:pt>
                <c:pt idx="5">
                  <c:v>12.5%</c:v>
                </c:pt>
                <c:pt idx="6">
                  <c:v>15.0%</c:v>
                </c:pt>
                <c:pt idx="7">
                  <c:v>17.5%</c:v>
                </c:pt>
                <c:pt idx="8">
                  <c:v>20.0%</c:v>
                </c:pt>
                <c:pt idx="9">
                  <c:v>22.5%</c:v>
                </c:pt>
                <c:pt idx="10">
                  <c:v>25.0%</c:v>
                </c:pt>
                <c:pt idx="11">
                  <c:v>27.5%</c:v>
                </c:pt>
                <c:pt idx="12">
                  <c:v>30.0%</c:v>
                </c:pt>
                <c:pt idx="13">
                  <c:v>32.5%</c:v>
                </c:pt>
                <c:pt idx="14">
                  <c:v>35.0%</c:v>
                </c:pt>
                <c:pt idx="15">
                  <c:v>37.5%</c:v>
                </c:pt>
                <c:pt idx="16">
                  <c:v>40.0%</c:v>
                </c:pt>
              </c:strCache>
            </c:strRef>
          </c:cat>
          <c:val>
            <c:numRef>
              <c:f>Simulação!$D$4:$D$20</c:f>
              <c:numCache>
                <c:formatCode>"R$ "#,##0.00;"(R$ "#,##0.00\);\-</c:formatCode>
                <c:ptCount val="17"/>
                <c:pt idx="0">
                  <c:v>34.8482142857143</c:v>
                </c:pt>
                <c:pt idx="1">
                  <c:v>32.9732142857143</c:v>
                </c:pt>
                <c:pt idx="2">
                  <c:v>31.0982142857143</c:v>
                </c:pt>
                <c:pt idx="3">
                  <c:v>29.2232142857143</c:v>
                </c:pt>
                <c:pt idx="4">
                  <c:v>27.3482142857143</c:v>
                </c:pt>
                <c:pt idx="5">
                  <c:v>25.4732142857143</c:v>
                </c:pt>
                <c:pt idx="6">
                  <c:v>23.5982142857143</c:v>
                </c:pt>
                <c:pt idx="7">
                  <c:v>21.7232142857143</c:v>
                </c:pt>
                <c:pt idx="8">
                  <c:v>19.8482142857143</c:v>
                </c:pt>
                <c:pt idx="9">
                  <c:v>17.9732142857143</c:v>
                </c:pt>
                <c:pt idx="10">
                  <c:v>16.0982142857143</c:v>
                </c:pt>
                <c:pt idx="11">
                  <c:v>14.2232142857143</c:v>
                </c:pt>
                <c:pt idx="12">
                  <c:v>12.3482142857143</c:v>
                </c:pt>
                <c:pt idx="13">
                  <c:v>10.4732142857143</c:v>
                </c:pt>
                <c:pt idx="14">
                  <c:v>8.59821428571429</c:v>
                </c:pt>
                <c:pt idx="15">
                  <c:v>6.72321428571428</c:v>
                </c:pt>
                <c:pt idx="16">
                  <c:v>4.84821428571428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222018"/>
        <c:axId val="78096236"/>
      </c:lineChart>
      <c:catAx>
        <c:axId val="372220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Take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96236"/>
        <c:crosses val="autoZero"/>
        <c:auto val="1"/>
        <c:lblAlgn val="ctr"/>
        <c:lblOffset val="100"/>
        <c:noMultiLvlLbl val="0"/>
      </c:catAx>
      <c:valAx>
        <c:axId val="78096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R$/hora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220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16</xdr:col>
      <xdr:colOff>256320</xdr:colOff>
      <xdr:row>15</xdr:row>
      <xdr:rowOff>11160</xdr:rowOff>
    </xdr:to>
    <xdr:graphicFrame>
      <xdr:nvGraphicFramePr>
        <xdr:cNvPr id="0" name="Chart 1"/>
        <xdr:cNvGraphicFramePr/>
      </xdr:nvGraphicFramePr>
      <xdr:xfrm>
        <a:off x="1005660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160920</xdr:rowOff>
    </xdr:from>
    <xdr:to>
      <xdr:col>16</xdr:col>
      <xdr:colOff>256320</xdr:colOff>
      <xdr:row>34</xdr:row>
      <xdr:rowOff>182880</xdr:rowOff>
    </xdr:to>
    <xdr:graphicFrame>
      <xdr:nvGraphicFramePr>
        <xdr:cNvPr id="1" name="Chart 2"/>
        <xdr:cNvGraphicFramePr/>
      </xdr:nvGraphicFramePr>
      <xdr:xfrm>
        <a:off x="10056600" y="41720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42" hidden="false" customHeight="true" outlineLevel="0" collapsed="false">
      <c r="A3" s="2" t="s">
        <v>1</v>
      </c>
      <c r="B3" s="3" t="s">
        <v>2</v>
      </c>
    </row>
    <row r="4" customFormat="false" ht="42" hidden="false" customHeight="true" outlineLevel="0" collapsed="false">
      <c r="A4" s="2" t="s">
        <v>3</v>
      </c>
      <c r="B4" s="3" t="s">
        <v>4</v>
      </c>
    </row>
    <row r="5" customFormat="false" ht="42" hidden="false" customHeight="true" outlineLevel="0" collapsed="false">
      <c r="A5" s="2" t="s">
        <v>5</v>
      </c>
      <c r="B5" s="3" t="s">
        <v>6</v>
      </c>
    </row>
    <row r="6" customFormat="false" ht="42" hidden="false" customHeight="true" outlineLevel="0" collapsed="false">
      <c r="A6" s="2" t="s">
        <v>7</v>
      </c>
      <c r="B6" s="3" t="s">
        <v>8</v>
      </c>
    </row>
    <row r="7" customFormat="false" ht="42" hidden="false" customHeight="true" outlineLevel="0" collapsed="false">
      <c r="A7" s="2" t="s">
        <v>9</v>
      </c>
      <c r="B7" s="3" t="s">
        <v>10</v>
      </c>
    </row>
    <row r="8" customFormat="false" ht="42" hidden="false" customHeight="true" outlineLevel="0" collapsed="false">
      <c r="A8" s="2" t="s">
        <v>11</v>
      </c>
      <c r="B8" s="3" t="s">
        <v>12</v>
      </c>
    </row>
    <row r="9" customFormat="false" ht="42" hidden="false" customHeight="tru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15</v>
      </c>
    </row>
    <row r="3" customFormat="false" ht="15" hidden="false" customHeight="false" outlineLevel="0" collapsed="false">
      <c r="A3" s="4" t="s">
        <v>16</v>
      </c>
      <c r="B3" s="4" t="s">
        <v>17</v>
      </c>
      <c r="C3" s="4" t="s">
        <v>18</v>
      </c>
      <c r="D3" s="4" t="s">
        <v>19</v>
      </c>
    </row>
    <row r="4" customFormat="false" ht="27.75" hidden="false" customHeight="true" outlineLevel="0" collapsed="false">
      <c r="A4" s="5" t="s">
        <v>20</v>
      </c>
      <c r="B4" s="6" t="n">
        <v>35</v>
      </c>
      <c r="C4" s="5" t="s">
        <v>21</v>
      </c>
      <c r="D4" s="7" t="s">
        <v>22</v>
      </c>
    </row>
    <row r="5" customFormat="false" ht="27.75" hidden="false" customHeight="true" outlineLevel="0" collapsed="false">
      <c r="A5" s="5" t="s">
        <v>23</v>
      </c>
      <c r="B5" s="8" t="n">
        <v>9</v>
      </c>
      <c r="C5" s="5" t="s">
        <v>24</v>
      </c>
      <c r="D5" s="7" t="s">
        <v>25</v>
      </c>
    </row>
    <row r="6" customFormat="false" ht="27.75" hidden="false" customHeight="true" outlineLevel="0" collapsed="false">
      <c r="A6" s="5" t="s">
        <v>26</v>
      </c>
      <c r="B6" s="9" t="n">
        <v>0.25</v>
      </c>
      <c r="C6" s="5" t="s">
        <v>27</v>
      </c>
      <c r="D6" s="7" t="s">
        <v>25</v>
      </c>
    </row>
    <row r="7" customFormat="false" ht="27.75" hidden="false" customHeight="true" outlineLevel="0" collapsed="false">
      <c r="A7" s="5" t="s">
        <v>28</v>
      </c>
      <c r="B7" s="6" t="n">
        <v>1.71</v>
      </c>
      <c r="C7" s="5" t="s">
        <v>29</v>
      </c>
      <c r="D7" s="7" t="s">
        <v>30</v>
      </c>
    </row>
    <row r="8" customFormat="false" ht="27.75" hidden="false" customHeight="true" outlineLevel="0" collapsed="false">
      <c r="A8" s="5" t="s">
        <v>31</v>
      </c>
      <c r="B8" s="10" t="n">
        <v>28</v>
      </c>
      <c r="C8" s="5" t="s">
        <v>32</v>
      </c>
      <c r="D8" s="7" t="s">
        <v>25</v>
      </c>
    </row>
    <row r="9" customFormat="false" ht="27.75" hidden="false" customHeight="true" outlineLevel="0" collapsed="false">
      <c r="A9" s="5" t="s">
        <v>33</v>
      </c>
      <c r="B9" s="10" t="n">
        <v>160</v>
      </c>
      <c r="C9" s="5" t="s">
        <v>34</v>
      </c>
      <c r="D9" s="7" t="s">
        <v>35</v>
      </c>
    </row>
    <row r="10" customFormat="false" ht="27.75" hidden="false" customHeight="true" outlineLevel="0" collapsed="false">
      <c r="A10" s="5" t="s">
        <v>36</v>
      </c>
      <c r="B10" s="9" t="n">
        <v>0.03</v>
      </c>
      <c r="C10" s="5" t="s">
        <v>37</v>
      </c>
      <c r="D10" s="7" t="s">
        <v>25</v>
      </c>
    </row>
    <row r="11" customFormat="false" ht="27.75" hidden="false" customHeight="true" outlineLevel="0" collapsed="false">
      <c r="A11" s="5" t="s">
        <v>38</v>
      </c>
      <c r="B11" s="11" t="n">
        <v>0.8</v>
      </c>
      <c r="C11" s="5" t="s">
        <v>21</v>
      </c>
      <c r="D11" s="7" t="s">
        <v>25</v>
      </c>
    </row>
    <row r="12" customFormat="false" ht="27.75" hidden="false" customHeight="true" outlineLevel="0" collapsed="false">
      <c r="A12" s="5" t="s">
        <v>39</v>
      </c>
      <c r="B12" s="11" t="n">
        <v>0.5</v>
      </c>
      <c r="C12" s="5" t="s">
        <v>21</v>
      </c>
      <c r="D12" s="7" t="s">
        <v>40</v>
      </c>
    </row>
    <row r="13" customFormat="false" ht="27.75" hidden="false" customHeight="true" outlineLevel="0" collapsed="false">
      <c r="A13" s="5" t="s">
        <v>41</v>
      </c>
      <c r="B13" s="12" t="n">
        <v>300000</v>
      </c>
      <c r="C13" s="5" t="s">
        <v>42</v>
      </c>
      <c r="D13" s="7" t="s">
        <v>43</v>
      </c>
    </row>
    <row r="14" customFormat="false" ht="27.75" hidden="false" customHeight="true" outlineLevel="0" collapsed="false">
      <c r="A14" s="5" t="s">
        <v>44</v>
      </c>
      <c r="B14" s="9" t="n">
        <v>0.4</v>
      </c>
      <c r="C14" s="5" t="s">
        <v>37</v>
      </c>
      <c r="D14" s="7" t="s">
        <v>45</v>
      </c>
    </row>
    <row r="15" customFormat="false" ht="27.75" hidden="false" customHeight="true" outlineLevel="0" collapsed="false">
      <c r="A15" s="5" t="s">
        <v>46</v>
      </c>
      <c r="B15" s="9" t="n">
        <v>0.25</v>
      </c>
      <c r="C15" s="5" t="s">
        <v>37</v>
      </c>
      <c r="D15" s="7" t="s">
        <v>47</v>
      </c>
    </row>
    <row r="16" customFormat="false" ht="27.75" hidden="false" customHeight="true" outlineLevel="0" collapsed="false">
      <c r="A16" s="5" t="s">
        <v>48</v>
      </c>
      <c r="B16" s="9" t="n">
        <v>0.3</v>
      </c>
      <c r="C16" s="5" t="s">
        <v>37</v>
      </c>
      <c r="D16" s="7" t="s">
        <v>49</v>
      </c>
    </row>
    <row r="17" customFormat="false" ht="27.75" hidden="false" customHeight="true" outlineLevel="0" collapsed="false">
      <c r="A17" s="5" t="s">
        <v>50</v>
      </c>
      <c r="B17" s="13" t="n">
        <v>0.12</v>
      </c>
      <c r="C17" s="5" t="s">
        <v>37</v>
      </c>
      <c r="D17" s="7" t="s">
        <v>51</v>
      </c>
    </row>
    <row r="18" customFormat="false" ht="27.75" hidden="false" customHeight="true" outlineLevel="0" collapsed="false">
      <c r="A18" s="5" t="s">
        <v>52</v>
      </c>
      <c r="B18" s="9" t="n">
        <v>0.08</v>
      </c>
      <c r="C18" s="5" t="s">
        <v>37</v>
      </c>
      <c r="D18" s="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54</v>
      </c>
    </row>
    <row r="3" customFormat="false" ht="30" hidden="false" customHeight="true" outlineLevel="0" collapsed="false">
      <c r="A3" s="14" t="s">
        <v>55</v>
      </c>
      <c r="B3" s="14" t="s">
        <v>56</v>
      </c>
      <c r="C3" s="14" t="s">
        <v>57</v>
      </c>
      <c r="D3" s="14" t="s">
        <v>58</v>
      </c>
      <c r="E3" s="14" t="s">
        <v>59</v>
      </c>
      <c r="F3" s="14" t="s">
        <v>60</v>
      </c>
    </row>
    <row r="4" customFormat="false" ht="15" hidden="false" customHeight="false" outlineLevel="0" collapsed="false">
      <c r="A4" s="5" t="s">
        <v>61</v>
      </c>
      <c r="B4" s="15" t="n">
        <f aca="false">Premissas!$B$14</f>
        <v>0.4</v>
      </c>
      <c r="C4" s="15" t="n">
        <f aca="false">Premissas!$B$15</f>
        <v>0.25</v>
      </c>
      <c r="D4" s="15" t="n">
        <f aca="false">Premissas!$B$16</f>
        <v>0.3</v>
      </c>
      <c r="E4" s="15" t="n">
        <f aca="false">Premissas!$B$17</f>
        <v>0.12</v>
      </c>
      <c r="F4" s="15" t="n">
        <f aca="false">Premissas!$B$18</f>
        <v>0.08</v>
      </c>
    </row>
    <row r="5" customFormat="false" ht="15" hidden="false" customHeight="false" outlineLevel="0" collapsed="false">
      <c r="A5" s="5" t="s">
        <v>62</v>
      </c>
      <c r="B5" s="16" t="n">
        <f aca="false">Premissas!$B$4</f>
        <v>35</v>
      </c>
      <c r="C5" s="16" t="n">
        <f aca="false">Premissas!$B$4</f>
        <v>35</v>
      </c>
      <c r="D5" s="16" t="n">
        <f aca="false">Premissas!$B$4</f>
        <v>35</v>
      </c>
      <c r="E5" s="16" t="n">
        <f aca="false">Premissas!$B$4</f>
        <v>35</v>
      </c>
      <c r="F5" s="16" t="n">
        <f aca="false">Premissas!$B$4</f>
        <v>35</v>
      </c>
    </row>
    <row r="6" customFormat="false" ht="15" hidden="false" customHeight="false" outlineLevel="0" collapsed="false">
      <c r="A6" s="5" t="s">
        <v>63</v>
      </c>
      <c r="B6" s="17" t="n">
        <f aca="false">B5*B4</f>
        <v>14</v>
      </c>
      <c r="C6" s="17" t="n">
        <f aca="false">C5*C4</f>
        <v>8.75</v>
      </c>
      <c r="D6" s="17" t="n">
        <f aca="false">D5*D4</f>
        <v>10.5</v>
      </c>
      <c r="E6" s="17" t="n">
        <f aca="false">E5*E4</f>
        <v>4.2</v>
      </c>
      <c r="F6" s="17" t="n">
        <f aca="false">F5*F4</f>
        <v>2.8</v>
      </c>
    </row>
    <row r="7" customFormat="false" ht="15" hidden="false" customHeight="false" outlineLevel="0" collapsed="false">
      <c r="A7" s="5" t="s">
        <v>64</v>
      </c>
      <c r="B7" s="17" t="n">
        <f aca="false">B5*Premissas!$B$10</f>
        <v>1.05</v>
      </c>
      <c r="C7" s="17" t="n">
        <f aca="false">C5*Premissas!$B$10</f>
        <v>1.05</v>
      </c>
      <c r="D7" s="17" t="n">
        <f aca="false">D5*Premissas!$B$10</f>
        <v>1.05</v>
      </c>
      <c r="E7" s="17" t="n">
        <f aca="false">E5*Premissas!$B$10</f>
        <v>1.05</v>
      </c>
      <c r="F7" s="17" t="n">
        <f aca="false">F5*Premissas!$B$10</f>
        <v>1.05</v>
      </c>
    </row>
    <row r="8" customFormat="false" ht="15" hidden="false" customHeight="false" outlineLevel="0" collapsed="false">
      <c r="A8" s="5" t="s">
        <v>65</v>
      </c>
      <c r="B8" s="16" t="n">
        <f aca="false">Premissas!$B$11</f>
        <v>0.8</v>
      </c>
      <c r="C8" s="16" t="n">
        <f aca="false">Premissas!$B$11</f>
        <v>0.8</v>
      </c>
      <c r="D8" s="16" t="n">
        <f aca="false">Premissas!$B$11</f>
        <v>0.8</v>
      </c>
      <c r="E8" s="16" t="n">
        <f aca="false">Premissas!$B$11</f>
        <v>0.8</v>
      </c>
      <c r="F8" s="16" t="n">
        <f aca="false">Premissas!$B$11</f>
        <v>0.8</v>
      </c>
    </row>
    <row r="9" customFormat="false" ht="15" hidden="false" customHeight="false" outlineLevel="0" collapsed="false">
      <c r="A9" s="5" t="s">
        <v>66</v>
      </c>
      <c r="B9" s="16" t="n">
        <f aca="false">Premissas!$B$12</f>
        <v>0.5</v>
      </c>
      <c r="C9" s="16" t="n">
        <f aca="false">Premissas!$B$12</f>
        <v>0.5</v>
      </c>
      <c r="D9" s="16" t="n">
        <f aca="false">Premissas!$B$12</f>
        <v>0.5</v>
      </c>
      <c r="E9" s="16" t="n">
        <f aca="false">Premissas!$B$12</f>
        <v>0.5</v>
      </c>
      <c r="F9" s="16" t="n">
        <f aca="false">Premissas!$B$12</f>
        <v>0.5</v>
      </c>
    </row>
    <row r="10" customFormat="false" ht="15" hidden="false" customHeight="false" outlineLevel="0" collapsed="false">
      <c r="A10" s="18" t="s">
        <v>67</v>
      </c>
      <c r="B10" s="19" t="n">
        <f aca="false">B6-B7-B8-B9</f>
        <v>11.65</v>
      </c>
      <c r="C10" s="19" t="n">
        <f aca="false">C6-C7-C8-C9</f>
        <v>6.4</v>
      </c>
      <c r="D10" s="19" t="n">
        <f aca="false">D6-D7-D8-D9</f>
        <v>8.15</v>
      </c>
      <c r="E10" s="19" t="n">
        <f aca="false">E6-E7-E8-E9</f>
        <v>1.85</v>
      </c>
      <c r="F10" s="19" t="n">
        <f aca="false">F6-F7-F8-F9</f>
        <v>0.45</v>
      </c>
    </row>
    <row r="11" customFormat="false" ht="15" hidden="false" customHeight="false" outlineLevel="0" collapsed="false">
      <c r="A11" s="5" t="s">
        <v>68</v>
      </c>
      <c r="B11" s="20" t="n">
        <f aca="false">IF(B5&gt;0,B10/B5,0)</f>
        <v>0.332857142857143</v>
      </c>
      <c r="C11" s="20" t="n">
        <f aca="false">IF(C5&gt;0,C10/C5,0)</f>
        <v>0.182857142857143</v>
      </c>
      <c r="D11" s="20" t="n">
        <f aca="false">IF(D5&gt;0,D10/D5,0)</f>
        <v>0.232857142857143</v>
      </c>
      <c r="E11" s="20" t="n">
        <f aca="false">IF(E5&gt;0,E10/E5,0)</f>
        <v>0.0528571428571429</v>
      </c>
      <c r="F11" s="20" t="n">
        <f aca="false">IF(F5&gt;0,F10/F5,0)</f>
        <v>0.0128571428571429</v>
      </c>
    </row>
    <row r="12" customFormat="false" ht="15" hidden="false" customHeight="false" outlineLevel="0" collapsed="false">
      <c r="A12" s="21" t="s">
        <v>69</v>
      </c>
      <c r="B12" s="22"/>
      <c r="C12" s="22"/>
      <c r="D12" s="22"/>
      <c r="E12" s="22"/>
      <c r="F12" s="22"/>
    </row>
    <row r="13" customFormat="false" ht="15" hidden="false" customHeight="false" outlineLevel="0" collapsed="false">
      <c r="A13" s="5" t="s">
        <v>70</v>
      </c>
      <c r="B13" s="17" t="n">
        <f aca="false">B5-B6</f>
        <v>21</v>
      </c>
      <c r="C13" s="17" t="n">
        <f aca="false">C5-C6</f>
        <v>26.25</v>
      </c>
      <c r="D13" s="17" t="n">
        <f aca="false">D5-D6</f>
        <v>24.5</v>
      </c>
      <c r="E13" s="17" t="n">
        <f aca="false">E5-E6</f>
        <v>30.8</v>
      </c>
      <c r="F13" s="17" t="n">
        <f aca="false">F5-F6</f>
        <v>32.2</v>
      </c>
    </row>
    <row r="14" customFormat="false" ht="15" hidden="false" customHeight="false" outlineLevel="0" collapsed="false">
      <c r="A14" s="5" t="s">
        <v>71</v>
      </c>
      <c r="B14" s="23" t="n">
        <f aca="false">Premissas!$B$5*(1+Premissas!$B$6)</f>
        <v>11.25</v>
      </c>
      <c r="C14" s="23" t="n">
        <f aca="false">Premissas!$B$5*(1+Premissas!$B$6)</f>
        <v>11.25</v>
      </c>
      <c r="D14" s="23" t="n">
        <f aca="false">Premissas!$B$5*(1+Premissas!$B$6)</f>
        <v>11.25</v>
      </c>
      <c r="E14" s="23" t="n">
        <f aca="false">Premissas!$B$5*(1+Premissas!$B$6)</f>
        <v>11.25</v>
      </c>
      <c r="F14" s="23" t="n">
        <f aca="false">Premissas!$B$5*(1+Premissas!$B$6)</f>
        <v>11.25</v>
      </c>
    </row>
    <row r="15" customFormat="false" ht="15" hidden="false" customHeight="false" outlineLevel="0" collapsed="false">
      <c r="A15" s="5" t="s">
        <v>72</v>
      </c>
      <c r="B15" s="17" t="n">
        <f aca="false">B14*Premissas!$B$7</f>
        <v>19.2375</v>
      </c>
      <c r="C15" s="17" t="n">
        <f aca="false">C14*Premissas!$B$7</f>
        <v>19.2375</v>
      </c>
      <c r="D15" s="17" t="n">
        <f aca="false">D14*Premissas!$B$7</f>
        <v>19.2375</v>
      </c>
      <c r="E15" s="17" t="n">
        <f aca="false">E14*Premissas!$B$7</f>
        <v>19.2375</v>
      </c>
      <c r="F15" s="17" t="n">
        <f aca="false">F14*Premissas!$B$7</f>
        <v>19.2375</v>
      </c>
    </row>
    <row r="16" customFormat="false" ht="15" hidden="false" customHeight="false" outlineLevel="0" collapsed="false">
      <c r="A16" s="18" t="s">
        <v>73</v>
      </c>
      <c r="B16" s="19" t="n">
        <f aca="false">B13-B15+B9</f>
        <v>2.2625</v>
      </c>
      <c r="C16" s="19" t="n">
        <f aca="false">C13-C15+C9</f>
        <v>7.5125</v>
      </c>
      <c r="D16" s="19" t="n">
        <f aca="false">D13-D15+D9</f>
        <v>5.7625</v>
      </c>
      <c r="E16" s="19" t="n">
        <f aca="false">E13-E15+E9</f>
        <v>12.0625</v>
      </c>
      <c r="F16" s="19" t="n">
        <f aca="false">F13-F15+F9</f>
        <v>13.4625</v>
      </c>
    </row>
    <row r="17" customFormat="false" ht="15" hidden="false" customHeight="false" outlineLevel="0" collapsed="false">
      <c r="A17" s="5" t="s">
        <v>74</v>
      </c>
      <c r="B17" s="23" t="n">
        <f aca="false">60/Premissas!$B$8</f>
        <v>2.14285714285714</v>
      </c>
      <c r="C17" s="23" t="n">
        <f aca="false">60/Premissas!$B$8</f>
        <v>2.14285714285714</v>
      </c>
      <c r="D17" s="23" t="n">
        <f aca="false">60/Premissas!$B$8</f>
        <v>2.14285714285714</v>
      </c>
      <c r="E17" s="23" t="n">
        <f aca="false">60/Premissas!$B$8</f>
        <v>2.14285714285714</v>
      </c>
      <c r="F17" s="23" t="n">
        <f aca="false">60/Premissas!$B$8</f>
        <v>2.14285714285714</v>
      </c>
    </row>
    <row r="18" customFormat="false" ht="15" hidden="false" customHeight="false" outlineLevel="0" collapsed="false">
      <c r="A18" s="18" t="s">
        <v>75</v>
      </c>
      <c r="B18" s="19" t="n">
        <f aca="false">B16*B17</f>
        <v>4.84821428571428</v>
      </c>
      <c r="C18" s="19" t="n">
        <f aca="false">C16*C17</f>
        <v>16.0982142857143</v>
      </c>
      <c r="D18" s="19" t="n">
        <f aca="false">D16*D17</f>
        <v>12.3482142857143</v>
      </c>
      <c r="E18" s="19" t="n">
        <f aca="false">E16*E17</f>
        <v>25.8482142857143</v>
      </c>
      <c r="F18" s="19" t="n">
        <f aca="false">F16*F17</f>
        <v>28.8482142857143</v>
      </c>
    </row>
    <row r="19" customFormat="false" ht="15" hidden="false" customHeight="false" outlineLevel="0" collapsed="false">
      <c r="A19" s="5" t="s">
        <v>76</v>
      </c>
      <c r="B19" s="24" t="n">
        <f aca="false">B18*Premissas!$B$9</f>
        <v>775.714285714285</v>
      </c>
      <c r="C19" s="24" t="n">
        <f aca="false">C18*Premissas!$B$9</f>
        <v>2575.71428571429</v>
      </c>
      <c r="D19" s="24" t="n">
        <f aca="false">D18*Premissas!$B$9</f>
        <v>1975.71428571429</v>
      </c>
      <c r="E19" s="24" t="n">
        <f aca="false">E18*Premissas!$B$9</f>
        <v>4135.71428571429</v>
      </c>
      <c r="F19" s="24" t="n">
        <f aca="false">F18*Premissas!$B$9</f>
        <v>4615.71428571429</v>
      </c>
    </row>
    <row r="20" customFormat="false" ht="15" hidden="false" customHeight="false" outlineLevel="0" collapsed="false">
      <c r="A20" s="5" t="s">
        <v>77</v>
      </c>
      <c r="B20" s="17" t="n">
        <f aca="false">B18-$C$18</f>
        <v>-11.25</v>
      </c>
      <c r="C20" s="17" t="n">
        <f aca="false">C18-$C$18</f>
        <v>0</v>
      </c>
      <c r="D20" s="17" t="n">
        <f aca="false">D18-$C$18</f>
        <v>-3.75</v>
      </c>
      <c r="E20" s="17" t="n">
        <f aca="false">E18-$C$18</f>
        <v>9.75</v>
      </c>
      <c r="F20" s="17" t="n">
        <f aca="false">F18-$C$18</f>
        <v>12.75</v>
      </c>
    </row>
    <row r="21" customFormat="false" ht="15" hidden="false" customHeight="false" outlineLevel="0" collapsed="false">
      <c r="A21" s="21" t="s">
        <v>78</v>
      </c>
      <c r="B21" s="22"/>
      <c r="C21" s="22"/>
      <c r="D21" s="22"/>
      <c r="E21" s="22"/>
      <c r="F21" s="22"/>
    </row>
    <row r="22" customFormat="false" ht="15" hidden="false" customHeight="false" outlineLevel="0" collapsed="false">
      <c r="A22" s="18" t="s">
        <v>79</v>
      </c>
      <c r="B22" s="25" t="n">
        <f aca="false">IF(B10&gt;0,Premissas!$B$13/B10,"Sem margem")</f>
        <v>25751.0729613734</v>
      </c>
      <c r="C22" s="25" t="n">
        <f aca="false">IF(C10&gt;0,Premissas!$B$13/C10,"Sem margem")</f>
        <v>46875</v>
      </c>
      <c r="D22" s="25" t="n">
        <f aca="false">IF(D10&gt;0,Premissas!$B$13/D10,"Sem margem")</f>
        <v>36809.8159509203</v>
      </c>
      <c r="E22" s="25" t="n">
        <f aca="false">IF(E10&gt;0,Premissas!$B$13/E10,"Sem margem")</f>
        <v>162162.162162162</v>
      </c>
      <c r="F22" s="25" t="n">
        <f aca="false">IF(F10&gt;0,Premissas!$B$13/F10,"Sem margem")</f>
        <v>666666.666666666</v>
      </c>
    </row>
    <row r="23" customFormat="false" ht="15" hidden="false" customHeight="false" outlineLevel="0" collapsed="false">
      <c r="A23" s="5" t="s">
        <v>80</v>
      </c>
      <c r="B23" s="26" t="n">
        <f aca="false">IF(ISNUMBER(B22),B22/30,"Sem margem")</f>
        <v>858.369098712446</v>
      </c>
      <c r="C23" s="26" t="n">
        <f aca="false">IF(ISNUMBER(C22),C22/30,"Sem margem")</f>
        <v>1562.5</v>
      </c>
      <c r="D23" s="26" t="n">
        <f aca="false">IF(ISNUMBER(D22),D22/30,"Sem margem")</f>
        <v>1226.99386503068</v>
      </c>
      <c r="E23" s="26" t="n">
        <f aca="false">IF(ISNUMBER(E22),E22/30,"Sem margem")</f>
        <v>5405.4054054054</v>
      </c>
      <c r="F23" s="26" t="n">
        <f aca="false">IF(ISNUMBER(F22),F22/30,"Sem margem")</f>
        <v>22222.2222222222</v>
      </c>
    </row>
    <row r="24" customFormat="false" ht="15" hidden="false" customHeight="false" outlineLevel="0" collapsed="false">
      <c r="A24" s="5" t="s">
        <v>81</v>
      </c>
      <c r="B24" s="26" t="n">
        <f aca="false">IF(ISNUMBER(B22),B22/(B17*Premissas!$B$9),"Sem margem")</f>
        <v>75.1072961373391</v>
      </c>
      <c r="C24" s="26" t="n">
        <f aca="false">IF(ISNUMBER(C22),C22/(C17*Premissas!$B$9),"Sem margem")</f>
        <v>136.71875</v>
      </c>
      <c r="D24" s="26" t="n">
        <f aca="false">IF(ISNUMBER(D22),D22/(D17*Premissas!$B$9),"Sem margem")</f>
        <v>107.361963190184</v>
      </c>
      <c r="E24" s="26" t="n">
        <f aca="false">IF(ISNUMBER(E22),E22/(E17*Premissas!$B$9),"Sem margem")</f>
        <v>472.972972972973</v>
      </c>
      <c r="F24" s="26" t="n">
        <f aca="false">IF(ISNUMBER(F22),F22/(F17*Premissas!$B$9),"Sem margem")</f>
        <v>1944.44444444444</v>
      </c>
    </row>
    <row r="26" customFormat="false" ht="15" hidden="false" customHeight="false" outlineLevel="0" collapsed="false">
      <c r="A26" s="27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24"/>
  </cols>
  <sheetData>
    <row r="1" customFormat="false" ht="17.35" hidden="false" customHeight="false" outlineLevel="0" collapsed="false">
      <c r="A1" s="1" t="s">
        <v>83</v>
      </c>
    </row>
    <row r="3" customFormat="false" ht="43.5" hidden="false" customHeight="true" outlineLevel="0" collapsed="false">
      <c r="A3" s="14" t="s">
        <v>61</v>
      </c>
      <c r="B3" s="14" t="s">
        <v>84</v>
      </c>
      <c r="C3" s="14" t="s">
        <v>85</v>
      </c>
      <c r="D3" s="14" t="s">
        <v>86</v>
      </c>
      <c r="E3" s="14" t="s">
        <v>87</v>
      </c>
      <c r="F3" s="14" t="s">
        <v>81</v>
      </c>
    </row>
    <row r="4" customFormat="false" ht="15" hidden="false" customHeight="false" outlineLevel="0" collapsed="false">
      <c r="A4" s="9" t="n">
        <v>0</v>
      </c>
      <c r="B4" s="17" t="n">
        <f aca="false">Premissas!$B$4*A4</f>
        <v>0</v>
      </c>
      <c r="C4" s="17" t="n">
        <f aca="false">B4-Premissas!$B$4*Premissas!$B$10-Premissas!$B$11-Premissas!$B$12</f>
        <v>-2.35</v>
      </c>
      <c r="D4" s="17" t="n">
        <f aca="false">((Premissas!$B$4*(1-A4))-Premissas!$B$5*(1+Premissas!$B$6)*Premissas!$B$7+Premissas!$B$12)*(60/Premissas!$B$8)</f>
        <v>34.8482142857143</v>
      </c>
      <c r="E4" s="26" t="str">
        <f aca="false">IF(C4&gt;0,Premissas!$B$13/C4,"Sem margem")</f>
        <v>Sem margem</v>
      </c>
      <c r="F4" s="26" t="str">
        <f aca="false">IF(ISNUMBER(E4),E4/((60/Premissas!$B$8)*Premissas!$B$9),"Sem margem")</f>
        <v>Sem margem</v>
      </c>
    </row>
    <row r="5" customFormat="false" ht="15" hidden="false" customHeight="false" outlineLevel="0" collapsed="false">
      <c r="A5" s="9" t="n">
        <v>0.025</v>
      </c>
      <c r="B5" s="17" t="n">
        <f aca="false">Premissas!$B$4*A5</f>
        <v>0.875</v>
      </c>
      <c r="C5" s="17" t="n">
        <f aca="false">B5-Premissas!$B$4*Premissas!$B$10-Premissas!$B$11-Premissas!$B$12</f>
        <v>-1.475</v>
      </c>
      <c r="D5" s="17" t="n">
        <f aca="false">((Premissas!$B$4*(1-A5))-Premissas!$B$5*(1+Premissas!$B$6)*Premissas!$B$7+Premissas!$B$12)*(60/Premissas!$B$8)</f>
        <v>32.9732142857143</v>
      </c>
      <c r="E5" s="26" t="str">
        <f aca="false">IF(C5&gt;0,Premissas!$B$13/C5,"Sem margem")</f>
        <v>Sem margem</v>
      </c>
      <c r="F5" s="26" t="str">
        <f aca="false">IF(ISNUMBER(E5),E5/((60/Premissas!$B$8)*Premissas!$B$9),"Sem margem")</f>
        <v>Sem margem</v>
      </c>
    </row>
    <row r="6" customFormat="false" ht="15" hidden="false" customHeight="false" outlineLevel="0" collapsed="false">
      <c r="A6" s="9" t="n">
        <v>0.05</v>
      </c>
      <c r="B6" s="17" t="n">
        <f aca="false">Premissas!$B$4*A6</f>
        <v>1.75</v>
      </c>
      <c r="C6" s="17" t="n">
        <f aca="false">B6-Premissas!$B$4*Premissas!$B$10-Premissas!$B$11-Premissas!$B$12</f>
        <v>-0.6</v>
      </c>
      <c r="D6" s="17" t="n">
        <f aca="false">((Premissas!$B$4*(1-A6))-Premissas!$B$5*(1+Premissas!$B$6)*Premissas!$B$7+Premissas!$B$12)*(60/Premissas!$B$8)</f>
        <v>31.0982142857143</v>
      </c>
      <c r="E6" s="26" t="str">
        <f aca="false">IF(C6&gt;0,Premissas!$B$13/C6,"Sem margem")</f>
        <v>Sem margem</v>
      </c>
      <c r="F6" s="26" t="str">
        <f aca="false">IF(ISNUMBER(E6),E6/((60/Premissas!$B$8)*Premissas!$B$9),"Sem margem")</f>
        <v>Sem margem</v>
      </c>
    </row>
    <row r="7" customFormat="false" ht="15" hidden="false" customHeight="false" outlineLevel="0" collapsed="false">
      <c r="A7" s="9" t="n">
        <v>0.075</v>
      </c>
      <c r="B7" s="17" t="n">
        <f aca="false">Premissas!$B$4*A7</f>
        <v>2.625</v>
      </c>
      <c r="C7" s="17" t="n">
        <f aca="false">B7-Premissas!$B$4*Premissas!$B$10-Premissas!$B$11-Premissas!$B$12</f>
        <v>0.275</v>
      </c>
      <c r="D7" s="17" t="n">
        <f aca="false">((Premissas!$B$4*(1-A7))-Premissas!$B$5*(1+Premissas!$B$6)*Premissas!$B$7+Premissas!$B$12)*(60/Premissas!$B$8)</f>
        <v>29.2232142857143</v>
      </c>
      <c r="E7" s="26" t="n">
        <f aca="false">IF(C7&gt;0,Premissas!$B$13/C7,"Sem margem")</f>
        <v>1090909.09090909</v>
      </c>
      <c r="F7" s="26" t="n">
        <f aca="false">IF(ISNUMBER(E7),E7/((60/Premissas!$B$8)*Premissas!$B$9),"Sem margem")</f>
        <v>3181.81818181818</v>
      </c>
    </row>
    <row r="8" customFormat="false" ht="15" hidden="false" customHeight="false" outlineLevel="0" collapsed="false">
      <c r="A8" s="9" t="n">
        <v>0.1</v>
      </c>
      <c r="B8" s="17" t="n">
        <f aca="false">Premissas!$B$4*A8</f>
        <v>3.5</v>
      </c>
      <c r="C8" s="17" t="n">
        <f aca="false">B8-Premissas!$B$4*Premissas!$B$10-Premissas!$B$11-Premissas!$B$12</f>
        <v>1.15</v>
      </c>
      <c r="D8" s="17" t="n">
        <f aca="false">((Premissas!$B$4*(1-A8))-Premissas!$B$5*(1+Premissas!$B$6)*Premissas!$B$7+Premissas!$B$12)*(60/Premissas!$B$8)</f>
        <v>27.3482142857143</v>
      </c>
      <c r="E8" s="26" t="n">
        <f aca="false">IF(C8&gt;0,Premissas!$B$13/C8,"Sem margem")</f>
        <v>260869.565217391</v>
      </c>
      <c r="F8" s="26" t="n">
        <f aca="false">IF(ISNUMBER(E8),E8/((60/Premissas!$B$8)*Premissas!$B$9),"Sem margem")</f>
        <v>760.869565217391</v>
      </c>
    </row>
    <row r="9" customFormat="false" ht="15" hidden="false" customHeight="false" outlineLevel="0" collapsed="false">
      <c r="A9" s="9" t="n">
        <v>0.125</v>
      </c>
      <c r="B9" s="17" t="n">
        <f aca="false">Premissas!$B$4*A9</f>
        <v>4.375</v>
      </c>
      <c r="C9" s="17" t="n">
        <f aca="false">B9-Premissas!$B$4*Premissas!$B$10-Premissas!$B$11-Premissas!$B$12</f>
        <v>2.025</v>
      </c>
      <c r="D9" s="17" t="n">
        <f aca="false">((Premissas!$B$4*(1-A9))-Premissas!$B$5*(1+Premissas!$B$6)*Premissas!$B$7+Premissas!$B$12)*(60/Premissas!$B$8)</f>
        <v>25.4732142857143</v>
      </c>
      <c r="E9" s="26" t="n">
        <f aca="false">IF(C9&gt;0,Premissas!$B$13/C9,"Sem margem")</f>
        <v>148148.148148148</v>
      </c>
      <c r="F9" s="26" t="n">
        <f aca="false">IF(ISNUMBER(E9),E9/((60/Premissas!$B$8)*Premissas!$B$9),"Sem margem")</f>
        <v>432.098765432099</v>
      </c>
    </row>
    <row r="10" customFormat="false" ht="15" hidden="false" customHeight="false" outlineLevel="0" collapsed="false">
      <c r="A10" s="9" t="n">
        <v>0.15</v>
      </c>
      <c r="B10" s="17" t="n">
        <f aca="false">Premissas!$B$4*A10</f>
        <v>5.25</v>
      </c>
      <c r="C10" s="17" t="n">
        <f aca="false">B10-Premissas!$B$4*Premissas!$B$10-Premissas!$B$11-Premissas!$B$12</f>
        <v>2.9</v>
      </c>
      <c r="D10" s="17" t="n">
        <f aca="false">((Premissas!$B$4*(1-A10))-Premissas!$B$5*(1+Premissas!$B$6)*Premissas!$B$7+Premissas!$B$12)*(60/Premissas!$B$8)</f>
        <v>23.5982142857143</v>
      </c>
      <c r="E10" s="26" t="n">
        <f aca="false">IF(C10&gt;0,Premissas!$B$13/C10,"Sem margem")</f>
        <v>103448.275862069</v>
      </c>
      <c r="F10" s="26" t="n">
        <f aca="false">IF(ISNUMBER(E10),E10/((60/Premissas!$B$8)*Premissas!$B$9),"Sem margem")</f>
        <v>301.724137931035</v>
      </c>
    </row>
    <row r="11" customFormat="false" ht="15" hidden="false" customHeight="false" outlineLevel="0" collapsed="false">
      <c r="A11" s="9" t="n">
        <v>0.175</v>
      </c>
      <c r="B11" s="17" t="n">
        <f aca="false">Premissas!$B$4*A11</f>
        <v>6.125</v>
      </c>
      <c r="C11" s="17" t="n">
        <f aca="false">B11-Premissas!$B$4*Premissas!$B$10-Premissas!$B$11-Premissas!$B$12</f>
        <v>3.775</v>
      </c>
      <c r="D11" s="17" t="n">
        <f aca="false">((Premissas!$B$4*(1-A11))-Premissas!$B$5*(1+Premissas!$B$6)*Premissas!$B$7+Premissas!$B$12)*(60/Premissas!$B$8)</f>
        <v>21.7232142857143</v>
      </c>
      <c r="E11" s="26" t="n">
        <f aca="false">IF(C11&gt;0,Premissas!$B$13/C11,"Sem margem")</f>
        <v>79470.1986754967</v>
      </c>
      <c r="F11" s="26" t="n">
        <f aca="false">IF(ISNUMBER(E11),E11/((60/Premissas!$B$8)*Premissas!$B$9),"Sem margem")</f>
        <v>231.788079470199</v>
      </c>
    </row>
    <row r="12" customFormat="false" ht="15" hidden="false" customHeight="false" outlineLevel="0" collapsed="false">
      <c r="A12" s="9" t="n">
        <v>0.2</v>
      </c>
      <c r="B12" s="17" t="n">
        <f aca="false">Premissas!$B$4*A12</f>
        <v>7</v>
      </c>
      <c r="C12" s="17" t="n">
        <f aca="false">B12-Premissas!$B$4*Premissas!$B$10-Premissas!$B$11-Premissas!$B$12</f>
        <v>4.65</v>
      </c>
      <c r="D12" s="17" t="n">
        <f aca="false">((Premissas!$B$4*(1-A12))-Premissas!$B$5*(1+Premissas!$B$6)*Premissas!$B$7+Premissas!$B$12)*(60/Premissas!$B$8)</f>
        <v>19.8482142857143</v>
      </c>
      <c r="E12" s="26" t="n">
        <f aca="false">IF(C12&gt;0,Premissas!$B$13/C12,"Sem margem")</f>
        <v>64516.1290322581</v>
      </c>
      <c r="F12" s="26" t="n">
        <f aca="false">IF(ISNUMBER(E12),E12/((60/Premissas!$B$8)*Premissas!$B$9),"Sem margem")</f>
        <v>188.172043010753</v>
      </c>
    </row>
    <row r="13" customFormat="false" ht="15" hidden="false" customHeight="false" outlineLevel="0" collapsed="false">
      <c r="A13" s="9" t="n">
        <v>0.225</v>
      </c>
      <c r="B13" s="17" t="n">
        <f aca="false">Premissas!$B$4*A13</f>
        <v>7.875</v>
      </c>
      <c r="C13" s="17" t="n">
        <f aca="false">B13-Premissas!$B$4*Premissas!$B$10-Premissas!$B$11-Premissas!$B$12</f>
        <v>5.525</v>
      </c>
      <c r="D13" s="17" t="n">
        <f aca="false">((Premissas!$B$4*(1-A13))-Premissas!$B$5*(1+Premissas!$B$6)*Premissas!$B$7+Premissas!$B$12)*(60/Premissas!$B$8)</f>
        <v>17.9732142857143</v>
      </c>
      <c r="E13" s="26" t="n">
        <f aca="false">IF(C13&gt;0,Premissas!$B$13/C13,"Sem margem")</f>
        <v>54298.6425339367</v>
      </c>
      <c r="F13" s="26" t="n">
        <f aca="false">IF(ISNUMBER(E13),E13/((60/Premissas!$B$8)*Premissas!$B$9),"Sem margem")</f>
        <v>158.371040723982</v>
      </c>
    </row>
    <row r="14" customFormat="false" ht="15" hidden="false" customHeight="false" outlineLevel="0" collapsed="false">
      <c r="A14" s="9" t="n">
        <v>0.25</v>
      </c>
      <c r="B14" s="17" t="n">
        <f aca="false">Premissas!$B$4*A14</f>
        <v>8.75</v>
      </c>
      <c r="C14" s="17" t="n">
        <f aca="false">B14-Premissas!$B$4*Premissas!$B$10-Premissas!$B$11-Premissas!$B$12</f>
        <v>6.4</v>
      </c>
      <c r="D14" s="17" t="n">
        <f aca="false">((Premissas!$B$4*(1-A14))-Premissas!$B$5*(1+Premissas!$B$6)*Premissas!$B$7+Premissas!$B$12)*(60/Premissas!$B$8)</f>
        <v>16.0982142857143</v>
      </c>
      <c r="E14" s="26" t="n">
        <f aca="false">IF(C14&gt;0,Premissas!$B$13/C14,"Sem margem")</f>
        <v>46875</v>
      </c>
      <c r="F14" s="26" t="n">
        <f aca="false">IF(ISNUMBER(E14),E14/((60/Premissas!$B$8)*Premissas!$B$9),"Sem margem")</f>
        <v>136.71875</v>
      </c>
    </row>
    <row r="15" customFormat="false" ht="15" hidden="false" customHeight="false" outlineLevel="0" collapsed="false">
      <c r="A15" s="9" t="n">
        <v>0.275</v>
      </c>
      <c r="B15" s="17" t="n">
        <f aca="false">Premissas!$B$4*A15</f>
        <v>9.625</v>
      </c>
      <c r="C15" s="17" t="n">
        <f aca="false">B15-Premissas!$B$4*Premissas!$B$10-Premissas!$B$11-Premissas!$B$12</f>
        <v>7.275</v>
      </c>
      <c r="D15" s="17" t="n">
        <f aca="false">((Premissas!$B$4*(1-A15))-Premissas!$B$5*(1+Premissas!$B$6)*Premissas!$B$7+Premissas!$B$12)*(60/Premissas!$B$8)</f>
        <v>14.2232142857143</v>
      </c>
      <c r="E15" s="26" t="n">
        <f aca="false">IF(C15&gt;0,Premissas!$B$13/C15,"Sem margem")</f>
        <v>41237.1134020619</v>
      </c>
      <c r="F15" s="26" t="n">
        <f aca="false">IF(ISNUMBER(E15),E15/((60/Premissas!$B$8)*Premissas!$B$9),"Sem margem")</f>
        <v>120.274914089347</v>
      </c>
    </row>
    <row r="16" customFormat="false" ht="15" hidden="false" customHeight="false" outlineLevel="0" collapsed="false">
      <c r="A16" s="9" t="n">
        <v>0.3</v>
      </c>
      <c r="B16" s="17" t="n">
        <f aca="false">Premissas!$B$4*A16</f>
        <v>10.5</v>
      </c>
      <c r="C16" s="17" t="n">
        <f aca="false">B16-Premissas!$B$4*Premissas!$B$10-Premissas!$B$11-Premissas!$B$12</f>
        <v>8.15</v>
      </c>
      <c r="D16" s="17" t="n">
        <f aca="false">((Premissas!$B$4*(1-A16))-Premissas!$B$5*(1+Premissas!$B$6)*Premissas!$B$7+Premissas!$B$12)*(60/Premissas!$B$8)</f>
        <v>12.3482142857143</v>
      </c>
      <c r="E16" s="26" t="n">
        <f aca="false">IF(C16&gt;0,Premissas!$B$13/C16,"Sem margem")</f>
        <v>36809.8159509203</v>
      </c>
      <c r="F16" s="26" t="n">
        <f aca="false">IF(ISNUMBER(E16),E16/((60/Premissas!$B$8)*Premissas!$B$9),"Sem margem")</f>
        <v>107.361963190184</v>
      </c>
    </row>
    <row r="17" customFormat="false" ht="15" hidden="false" customHeight="false" outlineLevel="0" collapsed="false">
      <c r="A17" s="9" t="n">
        <v>0.325</v>
      </c>
      <c r="B17" s="17" t="n">
        <f aca="false">Premissas!$B$4*A17</f>
        <v>11.375</v>
      </c>
      <c r="C17" s="17" t="n">
        <f aca="false">B17-Premissas!$B$4*Premissas!$B$10-Premissas!$B$11-Premissas!$B$12</f>
        <v>9.025</v>
      </c>
      <c r="D17" s="17" t="n">
        <f aca="false">((Premissas!$B$4*(1-A17))-Premissas!$B$5*(1+Premissas!$B$6)*Premissas!$B$7+Premissas!$B$12)*(60/Premissas!$B$8)</f>
        <v>10.4732142857143</v>
      </c>
      <c r="E17" s="26" t="n">
        <f aca="false">IF(C17&gt;0,Premissas!$B$13/C17,"Sem margem")</f>
        <v>33240.9972299169</v>
      </c>
      <c r="F17" s="26" t="n">
        <f aca="false">IF(ISNUMBER(E17),E17/((60/Premissas!$B$8)*Premissas!$B$9),"Sem margem")</f>
        <v>96.9529085872576</v>
      </c>
    </row>
    <row r="18" customFormat="false" ht="15" hidden="false" customHeight="false" outlineLevel="0" collapsed="false">
      <c r="A18" s="9" t="n">
        <v>0.35</v>
      </c>
      <c r="B18" s="17" t="n">
        <f aca="false">Premissas!$B$4*A18</f>
        <v>12.25</v>
      </c>
      <c r="C18" s="17" t="n">
        <f aca="false">B18-Premissas!$B$4*Premissas!$B$10-Premissas!$B$11-Premissas!$B$12</f>
        <v>9.9</v>
      </c>
      <c r="D18" s="17" t="n">
        <f aca="false">((Premissas!$B$4*(1-A18))-Premissas!$B$5*(1+Premissas!$B$6)*Premissas!$B$7+Premissas!$B$12)*(60/Premissas!$B$8)</f>
        <v>8.59821428571429</v>
      </c>
      <c r="E18" s="26" t="n">
        <f aca="false">IF(C18&gt;0,Premissas!$B$13/C18,"Sem margem")</f>
        <v>30303.0303030303</v>
      </c>
      <c r="F18" s="26" t="n">
        <f aca="false">IF(ISNUMBER(E18),E18/((60/Premissas!$B$8)*Premissas!$B$9),"Sem margem")</f>
        <v>88.3838383838384</v>
      </c>
    </row>
    <row r="19" customFormat="false" ht="15" hidden="false" customHeight="false" outlineLevel="0" collapsed="false">
      <c r="A19" s="9" t="n">
        <v>0.375</v>
      </c>
      <c r="B19" s="17" t="n">
        <f aca="false">Premissas!$B$4*A19</f>
        <v>13.125</v>
      </c>
      <c r="C19" s="17" t="n">
        <f aca="false">B19-Premissas!$B$4*Premissas!$B$10-Premissas!$B$11-Premissas!$B$12</f>
        <v>10.775</v>
      </c>
      <c r="D19" s="17" t="n">
        <f aca="false">((Premissas!$B$4*(1-A19))-Premissas!$B$5*(1+Premissas!$B$6)*Premissas!$B$7+Premissas!$B$12)*(60/Premissas!$B$8)</f>
        <v>6.72321428571428</v>
      </c>
      <c r="E19" s="26" t="n">
        <f aca="false">IF(C19&gt;0,Premissas!$B$13/C19,"Sem margem")</f>
        <v>27842.2273781903</v>
      </c>
      <c r="F19" s="26" t="n">
        <f aca="false">IF(ISNUMBER(E19),E19/((60/Premissas!$B$8)*Premissas!$B$9),"Sem margem")</f>
        <v>81.2064965197216</v>
      </c>
    </row>
    <row r="20" customFormat="false" ht="15" hidden="false" customHeight="false" outlineLevel="0" collapsed="false">
      <c r="A20" s="9" t="n">
        <v>0.4</v>
      </c>
      <c r="B20" s="17" t="n">
        <f aca="false">Premissas!$B$4*A20</f>
        <v>14</v>
      </c>
      <c r="C20" s="17" t="n">
        <f aca="false">B20-Premissas!$B$4*Premissas!$B$10-Premissas!$B$11-Premissas!$B$12</f>
        <v>11.65</v>
      </c>
      <c r="D20" s="17" t="n">
        <f aca="false">((Premissas!$B$4*(1-A20))-Premissas!$B$5*(1+Premissas!$B$6)*Premissas!$B$7+Premissas!$B$12)*(60/Premissas!$B$8)</f>
        <v>4.84821428571428</v>
      </c>
      <c r="E20" s="26" t="n">
        <f aca="false">IF(C20&gt;0,Premissas!$B$13/C20,"Sem margem")</f>
        <v>25751.0729613734</v>
      </c>
      <c r="F20" s="26" t="n">
        <f aca="false">IF(ISNUMBER(E20),E20/((60/Premissas!$B$8)*Premissas!$B$9),"Sem margem")</f>
        <v>75.1072961373391</v>
      </c>
    </row>
    <row r="23" customFormat="false" ht="15" hidden="false" customHeight="false" outlineLevel="0" collapsed="false">
      <c r="A23" s="18" t="s">
        <v>88</v>
      </c>
    </row>
    <row r="24" customFormat="false" ht="15" hidden="false" customHeight="false" outlineLevel="0" collapsed="false">
      <c r="A24" s="4" t="s">
        <v>89</v>
      </c>
      <c r="B24" s="28" t="n">
        <v>25</v>
      </c>
      <c r="C24" s="28" t="n">
        <v>30</v>
      </c>
      <c r="D24" s="28" t="n">
        <v>35</v>
      </c>
      <c r="E24" s="28" t="n">
        <v>40</v>
      </c>
      <c r="F24" s="28" t="n">
        <v>45</v>
      </c>
    </row>
    <row r="25" customFormat="false" ht="15" hidden="false" customHeight="false" outlineLevel="0" collapsed="false">
      <c r="A25" s="29" t="n">
        <v>0.05</v>
      </c>
      <c r="B25" s="17" t="n">
        <f aca="false">B$24*($A25-Premissas!$B$10)-Premissas!$B$11-Premissas!$B$12</f>
        <v>-0.8</v>
      </c>
      <c r="C25" s="17" t="n">
        <f aca="false">C$24*($A25-Premissas!$B$10)-Premissas!$B$11-Premissas!$B$12</f>
        <v>-0.7</v>
      </c>
      <c r="D25" s="17" t="n">
        <f aca="false">D$24*($A25-Premissas!$B$10)-Premissas!$B$11-Premissas!$B$12</f>
        <v>-0.6</v>
      </c>
      <c r="E25" s="17" t="n">
        <f aca="false">E$24*($A25-Premissas!$B$10)-Premissas!$B$11-Premissas!$B$12</f>
        <v>-0.5</v>
      </c>
      <c r="F25" s="17" t="n">
        <f aca="false">F$24*($A25-Premissas!$B$10)-Premissas!$B$11-Premissas!$B$12</f>
        <v>-0.4</v>
      </c>
    </row>
    <row r="26" customFormat="false" ht="15" hidden="false" customHeight="false" outlineLevel="0" collapsed="false">
      <c r="A26" s="29" t="n">
        <v>0.08</v>
      </c>
      <c r="B26" s="17" t="n">
        <f aca="false">B$24*($A26-Premissas!$B$10)-Premissas!$B$11-Premissas!$B$12</f>
        <v>-0.05</v>
      </c>
      <c r="C26" s="17" t="n">
        <f aca="false">C$24*($A26-Premissas!$B$10)-Premissas!$B$11-Premissas!$B$12</f>
        <v>0.2</v>
      </c>
      <c r="D26" s="17" t="n">
        <f aca="false">D$24*($A26-Premissas!$B$10)-Premissas!$B$11-Premissas!$B$12</f>
        <v>0.45</v>
      </c>
      <c r="E26" s="17" t="n">
        <f aca="false">E$24*($A26-Premissas!$B$10)-Premissas!$B$11-Premissas!$B$12</f>
        <v>0.7</v>
      </c>
      <c r="F26" s="17" t="n">
        <f aca="false">F$24*($A26-Premissas!$B$10)-Premissas!$B$11-Premissas!$B$12</f>
        <v>0.95</v>
      </c>
    </row>
    <row r="27" customFormat="false" ht="15" hidden="false" customHeight="false" outlineLevel="0" collapsed="false">
      <c r="A27" s="29" t="n">
        <v>0.1</v>
      </c>
      <c r="B27" s="17" t="n">
        <f aca="false">B$24*($A27-Premissas!$B$10)-Premissas!$B$11-Premissas!$B$12</f>
        <v>0.45</v>
      </c>
      <c r="C27" s="17" t="n">
        <f aca="false">C$24*($A27-Premissas!$B$10)-Premissas!$B$11-Premissas!$B$12</f>
        <v>0.8</v>
      </c>
      <c r="D27" s="17" t="n">
        <f aca="false">D$24*($A27-Premissas!$B$10)-Premissas!$B$11-Premissas!$B$12</f>
        <v>1.15</v>
      </c>
      <c r="E27" s="17" t="n">
        <f aca="false">E$24*($A27-Premissas!$B$10)-Premissas!$B$11-Premissas!$B$12</f>
        <v>1.5</v>
      </c>
      <c r="F27" s="17" t="n">
        <f aca="false">F$24*($A27-Premissas!$B$10)-Premissas!$B$11-Premissas!$B$12</f>
        <v>1.85</v>
      </c>
    </row>
    <row r="28" customFormat="false" ht="15" hidden="false" customHeight="false" outlineLevel="0" collapsed="false">
      <c r="A28" s="29" t="n">
        <v>0.12</v>
      </c>
      <c r="B28" s="17" t="n">
        <f aca="false">B$24*($A28-Premissas!$B$10)-Premissas!$B$11-Premissas!$B$12</f>
        <v>0.95</v>
      </c>
      <c r="C28" s="17" t="n">
        <f aca="false">C$24*($A28-Premissas!$B$10)-Premissas!$B$11-Premissas!$B$12</f>
        <v>1.4</v>
      </c>
      <c r="D28" s="17" t="n">
        <f aca="false">D$24*($A28-Premissas!$B$10)-Premissas!$B$11-Premissas!$B$12</f>
        <v>1.85</v>
      </c>
      <c r="E28" s="17" t="n">
        <f aca="false">E$24*($A28-Premissas!$B$10)-Premissas!$B$11-Premissas!$B$12</f>
        <v>2.3</v>
      </c>
      <c r="F28" s="17" t="n">
        <f aca="false">F$24*($A28-Premissas!$B$10)-Premissas!$B$11-Premissas!$B$12</f>
        <v>2.75</v>
      </c>
    </row>
    <row r="29" customFormat="false" ht="15" hidden="false" customHeight="false" outlineLevel="0" collapsed="false">
      <c r="A29" s="29" t="n">
        <v>0.15</v>
      </c>
      <c r="B29" s="17" t="n">
        <f aca="false">B$24*($A29-Premissas!$B$10)-Premissas!$B$11-Premissas!$B$12</f>
        <v>1.7</v>
      </c>
      <c r="C29" s="17" t="n">
        <f aca="false">C$24*($A29-Premissas!$B$10)-Premissas!$B$11-Premissas!$B$12</f>
        <v>2.3</v>
      </c>
      <c r="D29" s="17" t="n">
        <f aca="false">D$24*($A29-Premissas!$B$10)-Premissas!$B$11-Premissas!$B$12</f>
        <v>2.9</v>
      </c>
      <c r="E29" s="17" t="n">
        <f aca="false">E$24*($A29-Premissas!$B$10)-Premissas!$B$11-Premissas!$B$12</f>
        <v>3.5</v>
      </c>
      <c r="F29" s="17" t="n">
        <f aca="false">F$24*($A29-Premissas!$B$10)-Premissas!$B$11-Premissas!$B$12</f>
        <v>4.1</v>
      </c>
    </row>
    <row r="30" customFormat="false" ht="15" hidden="false" customHeight="false" outlineLevel="0" collapsed="false">
      <c r="A30" s="29" t="n">
        <v>0.2</v>
      </c>
      <c r="B30" s="17" t="n">
        <f aca="false">B$24*($A30-Premissas!$B$10)-Premissas!$B$11-Premissas!$B$12</f>
        <v>2.95</v>
      </c>
      <c r="C30" s="17" t="n">
        <f aca="false">C$24*($A30-Premissas!$B$10)-Premissas!$B$11-Premissas!$B$12</f>
        <v>3.8</v>
      </c>
      <c r="D30" s="17" t="n">
        <f aca="false">D$24*($A30-Premissas!$B$10)-Premissas!$B$11-Premissas!$B$12</f>
        <v>4.65</v>
      </c>
      <c r="E30" s="17" t="n">
        <f aca="false">E$24*($A30-Premissas!$B$10)-Premissas!$B$11-Premissas!$B$12</f>
        <v>5.5</v>
      </c>
      <c r="F30" s="17" t="n">
        <f aca="false">F$24*($A30-Premissas!$B$10)-Premissas!$B$11-Premissas!$B$12</f>
        <v>6.35</v>
      </c>
    </row>
    <row r="31" customFormat="false" ht="15" hidden="false" customHeight="false" outlineLevel="0" collapsed="false">
      <c r="A31" s="29" t="n">
        <v>0.25</v>
      </c>
      <c r="B31" s="17" t="n">
        <f aca="false">B$24*($A31-Premissas!$B$10)-Premissas!$B$11-Premissas!$B$12</f>
        <v>4.2</v>
      </c>
      <c r="C31" s="17" t="n">
        <f aca="false">C$24*($A31-Premissas!$B$10)-Premissas!$B$11-Premissas!$B$12</f>
        <v>5.3</v>
      </c>
      <c r="D31" s="17" t="n">
        <f aca="false">D$24*($A31-Premissas!$B$10)-Premissas!$B$11-Premissas!$B$12</f>
        <v>6.4</v>
      </c>
      <c r="E31" s="17" t="n">
        <f aca="false">E$24*($A31-Premissas!$B$10)-Premissas!$B$11-Premissas!$B$12</f>
        <v>7.5</v>
      </c>
      <c r="F31" s="17" t="n">
        <f aca="false">F$24*($A31-Premissas!$B$10)-Premissas!$B$11-Premissas!$B$12</f>
        <v>8.6</v>
      </c>
    </row>
    <row r="32" customFormat="false" ht="15" hidden="false" customHeight="false" outlineLevel="0" collapsed="false">
      <c r="A32" s="29" t="n">
        <v>0.3</v>
      </c>
      <c r="B32" s="17" t="n">
        <f aca="false">B$24*($A32-Premissas!$B$10)-Premissas!$B$11-Premissas!$B$12</f>
        <v>5.45</v>
      </c>
      <c r="C32" s="17" t="n">
        <f aca="false">C$24*($A32-Premissas!$B$10)-Premissas!$B$11-Premissas!$B$12</f>
        <v>6.8</v>
      </c>
      <c r="D32" s="17" t="n">
        <f aca="false">D$24*($A32-Premissas!$B$10)-Premissas!$B$11-Premissas!$B$12</f>
        <v>8.15</v>
      </c>
      <c r="E32" s="17" t="n">
        <f aca="false">E$24*($A32-Premissas!$B$10)-Premissas!$B$11-Premissas!$B$12</f>
        <v>9.5</v>
      </c>
      <c r="F32" s="17" t="n">
        <f aca="false">F$24*($A32-Premissas!$B$10)-Premissas!$B$11-Premissas!$B$12</f>
        <v>10.85</v>
      </c>
    </row>
    <row r="34" customFormat="false" ht="15" hidden="false" customHeight="false" outlineLevel="0" collapsed="false">
      <c r="A34" s="27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2026-09-30T19:26:22Z</dcterms:created>
  <dc:creator>openpyxl</dc:creator>
  <dc:description/>
  <dc:language>en-US</dc:language>
  <cp:lastModifiedBy/>
  <dcterms:modified xsi:type="dcterms:W3CDTF">2026-09-30T16:26:29Z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